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CB_Designs\kicad-oil-level-sensor\documentation\"/>
    </mc:Choice>
  </mc:AlternateContent>
  <xr:revisionPtr revIDLastSave="0" documentId="13_ncr:1_{65C24218-A037-4175-AC3A-756D22DC962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D41" i="1"/>
  <c r="D42" i="1"/>
  <c r="D43" i="1"/>
  <c r="D44" i="1"/>
  <c r="D45" i="1"/>
  <c r="D46" i="1"/>
  <c r="D47" i="1"/>
  <c r="D27" i="1"/>
  <c r="D28" i="1"/>
  <c r="D29" i="1"/>
  <c r="D31" i="1"/>
  <c r="D32" i="1"/>
  <c r="D33" i="1"/>
  <c r="D34" i="1"/>
  <c r="D35" i="1"/>
  <c r="D36" i="1"/>
  <c r="D37" i="1"/>
  <c r="D38" i="1"/>
  <c r="D3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D48" i="1" l="1"/>
</calcChain>
</file>

<file path=xl/sharedStrings.xml><?xml version="1.0" encoding="utf-8"?>
<sst xmlns="http://schemas.openxmlformats.org/spreadsheetml/2006/main" count="38" uniqueCount="38">
  <si>
    <t>AC/DC DIN Rail Power Supply (PSU), ITE, 1 Output, 36 W, 24 VDC, 1.5 A</t>
  </si>
  <si>
    <t>AC/DC DIN Rail Power Supply (PSU), ITE, 1 Output, 24 W, 12 VDC, 2 A</t>
  </si>
  <si>
    <t>AC/DC DIN Rail Power Supply (PSU), ITE, 1 Output, 15 W, 5 VDC, 3 A</t>
  </si>
  <si>
    <t>Napajalni del</t>
  </si>
  <si>
    <t>Price/Piece</t>
  </si>
  <si>
    <t>Quantity</t>
  </si>
  <si>
    <t>Null modem 9pin plug to receptacle</t>
  </si>
  <si>
    <t>SKUPNO</t>
  </si>
  <si>
    <t>Smart Cable Assembly, USB to RS232 Converter, 1Mbaud, D Sub 9 Position Plug, FT232R Chip, 2m/6.6ft</t>
  </si>
  <si>
    <t>Shunt 0,25Ohm</t>
  </si>
  <si>
    <t>Shunt 15 Ohm</t>
  </si>
  <si>
    <t>Wire-To-Board Terminal Block, 5.08 mm, 2 Ways, 24 AWG, 12 AWG, 1.5 mm², Screw</t>
  </si>
  <si>
    <t>Wire-To-Board Terminal Block, 5.08 mm, 4 Ways, 24 AWG, 12 AWG, 1.5 mm², Screw</t>
  </si>
  <si>
    <t>Wire-To-Board Terminal Block, 2.54 mm, 5 Ways, 26 AWG, 20 AWG, 0.5 mm², Screw</t>
  </si>
  <si>
    <t>Wire-To-Board Terminal Block, 2.54 mm, 4 Ways, 26 AWG, 20 AWG, 0.5 mm², Screw</t>
  </si>
  <si>
    <t>Wire-To-Board Terminal Block, 2.54 mm, 2 Ways, 30 AWG, 16 AWG, 1.4 mm², Screw</t>
  </si>
  <si>
    <t>DC/DC Converter, ITE, 1 Output, 12 W, 12 V, 1 A, TSR 1 Series</t>
  </si>
  <si>
    <t>DC/DC Converter, ITE, 1 Output, 15 W, 15 V, 1 A, TSR 1 Series</t>
  </si>
  <si>
    <t>DC/DC Converter, ITE, 1 Output, 5 V, 1 A, TSRN 1 Series</t>
  </si>
  <si>
    <t>receptable, 5.08mm, rails</t>
  </si>
  <si>
    <t>pin header 5,08mm, rails</t>
  </si>
  <si>
    <t>PCB Receptacle, Board-to-Board, 2.54 mm, 1 Rows, 10 Contacts, Through Hole Mount, 2212S</t>
  </si>
  <si>
    <t>Pin Header, Board-to-Board, 2.54 mm, 1 Rows, 10 Contacts, Through Hole Straight, 2211S</t>
  </si>
  <si>
    <t>Pin Header, Vertical, Wire-to-Board, 5.08 mm, 1 Rows, 2 Contacts, Through Hole Straight, SPOX 5281</t>
  </si>
  <si>
    <t>Pluggable Terminal Block, 3.81 mm, 6 Ways, 28 AWG, 16 AWG, 1.5 mm², Screw</t>
  </si>
  <si>
    <t>Pluggable Terminal Block, 3.81 mm, 7 Ways, 28 AWG, 16 AWG, 1.5 mm², Screw</t>
  </si>
  <si>
    <t>Pluggable Terminal Block, 3.81 mm, 5 Ways, 28 AWG, 16 AWG, 1.5 mm², Screw</t>
  </si>
  <si>
    <t>Contact, SPOX™ BMI, SPOX 5194, Socket, Crimp, 18 AWG, Tin Plated Contacts</t>
  </si>
  <si>
    <t>Connector Housing, SPOX 5197, Receptacle, 2 Ways, 5.08 mm, Molex SPOX 5197 Series Contacts</t>
  </si>
  <si>
    <t>Resistor, 8 ohm, MP PDMT Series, 50 W, ± 1%, Solder Lug, 1.25 kV</t>
  </si>
  <si>
    <t>Resistor, 10 ohm, RH Series, 50 W, ± 1%, Solder Lug, 22 V</t>
  </si>
  <si>
    <t>Resistor, 15 ohm, MP PDMT Series, 50 W, ± 1%, Solder Lug, 1.25 kV</t>
  </si>
  <si>
    <t>Resistor, 20 ohm, MP PDMT Series, 50 W, ± 1%, Solder Lug, 1.25 kV</t>
  </si>
  <si>
    <t>Resistor, 22 ohm, MP PDMT Series, 50 W, ± 1%, Solder Lug, 1.25 kV</t>
  </si>
  <si>
    <t>Resistor, 8 ohm, RH Series, 25 W, ± 1%, Solder Lug</t>
  </si>
  <si>
    <t>Resistor, 10 ohm, RH Series, 25 W, ± 1%, Solder Lug</t>
  </si>
  <si>
    <t>Oktopad, Eurocard, Epoxy Glass Composite, 1.6mm, 100mm x 160mm</t>
  </si>
  <si>
    <t>Total [€]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</si>
</sst>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0"/>
      <color rgb="FF161616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i.farnell.com/bourns/pwr221t-30-15r0j/resistor-thick-film-15ohm-5-to/dp/2328274" TargetMode="External"/><Relationship Id="rId13" Type="http://schemas.openxmlformats.org/officeDocument/2006/relationships/hyperlink" Target="https://si.farnell.com/buchanan-te-connectivity/282834-2/terminal-block-wire-to-brd-2pos/dp/2112482" TargetMode="External"/><Relationship Id="rId18" Type="http://schemas.openxmlformats.org/officeDocument/2006/relationships/hyperlink" Target="https://si.farnell.com/molex/10-32-1021/connector-header-2pos-1row-5-08mm/dp/1756775" TargetMode="External"/><Relationship Id="rId26" Type="http://schemas.openxmlformats.org/officeDocument/2006/relationships/hyperlink" Target="https://si.farnell.com/multicomp-pro/mcpdmt50f150jb00/resistor-chassis-mount-15r-1-50w/dp/4668578" TargetMode="External"/><Relationship Id="rId3" Type="http://schemas.openxmlformats.org/officeDocument/2006/relationships/hyperlink" Target="https://si.farnell.com/mean-well/hdr-30-5/power-supply-ac-dc-5v-3a/dp/2815640" TargetMode="External"/><Relationship Id="rId21" Type="http://schemas.openxmlformats.org/officeDocument/2006/relationships/hyperlink" Target="https://si.farnell.com/multicomp-pro/2212s-10sg-85/socket-pcb-1-row-10way/dp/1593464" TargetMode="External"/><Relationship Id="rId7" Type="http://schemas.openxmlformats.org/officeDocument/2006/relationships/hyperlink" Target="https://si.farnell.com/bourns/pwr221t-30-r250f/resistor-thick-film-0-25ohm-1/dp/2328298" TargetMode="External"/><Relationship Id="rId12" Type="http://schemas.openxmlformats.org/officeDocument/2006/relationships/hyperlink" Target="https://si.farnell.com/phoenix-contact/1725672/terminal-block-wire-to-brd-4pos/dp/3041414" TargetMode="External"/><Relationship Id="rId17" Type="http://schemas.openxmlformats.org/officeDocument/2006/relationships/hyperlink" Target="https://si.farnell.com/multicomp-pro/2211s-10g/header-tht-vertical-2-54mm-10way/dp/1593417?MER=sy-me-pd-mi-acce" TargetMode="External"/><Relationship Id="rId25" Type="http://schemas.openxmlformats.org/officeDocument/2006/relationships/hyperlink" Target="https://si.farnell.com/vishay/rh05010r00fe02/res-1-wirewound-solder-lug/dp/4552456" TargetMode="External"/><Relationship Id="rId2" Type="http://schemas.openxmlformats.org/officeDocument/2006/relationships/hyperlink" Target="https://si.farnell.com/mean-well/hdr-30-12/power-supply-ac-dc-12v-2a/dp/2815636" TargetMode="External"/><Relationship Id="rId16" Type="http://schemas.openxmlformats.org/officeDocument/2006/relationships/hyperlink" Target="https://si.farnell.com/tracopower/tsrn-1-2450/dc-dc-converter-1a-5v-5w/dp/2280247" TargetMode="External"/><Relationship Id="rId20" Type="http://schemas.openxmlformats.org/officeDocument/2006/relationships/hyperlink" Target="https://si.farnell.com/phoenix-contact/1803604/terminal-block-pluggable-5pos/dp/3704932" TargetMode="External"/><Relationship Id="rId29" Type="http://schemas.openxmlformats.org/officeDocument/2006/relationships/hyperlink" Target="https://si.farnell.com/vishay/rh0258r000fe02/resistor-wirewound-8-ohm-25w-1/dp/1703816" TargetMode="External"/><Relationship Id="rId1" Type="http://schemas.openxmlformats.org/officeDocument/2006/relationships/hyperlink" Target="https://si.farnell.com/mean-well/hdr-30-24/power-supply-ac-dc-24v-1-5a/dp/2815638" TargetMode="External"/><Relationship Id="rId6" Type="http://schemas.openxmlformats.org/officeDocument/2006/relationships/hyperlink" Target="https://si.farnell.com/phoenix-contact/1803617/terminal-block-pluggable-6pos/dp/3704944" TargetMode="External"/><Relationship Id="rId11" Type="http://schemas.openxmlformats.org/officeDocument/2006/relationships/hyperlink" Target="https://si.farnell.com/phoenix-contact/mpt-0-5-5-2-54/tb-wire-to-board-5pos-26-20awg/dp/2776439" TargetMode="External"/><Relationship Id="rId24" Type="http://schemas.openxmlformats.org/officeDocument/2006/relationships/hyperlink" Target="https://si.farnell.com/multicomp-pro/mcpdmt50f800kb00/resistor-chassis-mount-8r-1-50w/dp/4668597?MER=BR-MER-CA-RECO-STM71778" TargetMode="External"/><Relationship Id="rId5" Type="http://schemas.openxmlformats.org/officeDocument/2006/relationships/hyperlink" Target="https://si.farnell.com/ftdi/ut232r-200/adaptor-cable-usb-rs232-2m/dp/2352013?MER=BR-MER-CA-RECO-STM71778" TargetMode="External"/><Relationship Id="rId15" Type="http://schemas.openxmlformats.org/officeDocument/2006/relationships/hyperlink" Target="https://si.farnell.com/tracopower/tsr-1-24150/converter-dc-to-dc-24v-to-15v/dp/1672131" TargetMode="External"/><Relationship Id="rId23" Type="http://schemas.openxmlformats.org/officeDocument/2006/relationships/hyperlink" Target="https://si.farnell.com/molex/10-01-3026/connector-rcpt-2pos-1row-5-08mm/dp/2781927" TargetMode="External"/><Relationship Id="rId28" Type="http://schemas.openxmlformats.org/officeDocument/2006/relationships/hyperlink" Target="https://si.farnell.com/multicomp-pro/mcpdmt50f220jb00/resistor-chassis-mount-22r-1-50w/dp/4668564" TargetMode="External"/><Relationship Id="rId10" Type="http://schemas.openxmlformats.org/officeDocument/2006/relationships/hyperlink" Target="https://si.farnell.com/phoenix-contact/1712805/terminal-block-wire-to-brd-4pos/dp/3041189" TargetMode="External"/><Relationship Id="rId19" Type="http://schemas.openxmlformats.org/officeDocument/2006/relationships/hyperlink" Target="https://si.farnell.com/phoenix-contact/mc-1-5-7-st-3-81/terminal-block-pluggable-7pos/dp/2314963" TargetMode="External"/><Relationship Id="rId31" Type="http://schemas.openxmlformats.org/officeDocument/2006/relationships/hyperlink" Target="https://si.farnell.com/multicomp-pro/mprrb-001/pcb-oktopad-100x160/dp/967397" TargetMode="External"/><Relationship Id="rId4" Type="http://schemas.openxmlformats.org/officeDocument/2006/relationships/hyperlink" Target="https://si.farnell.com/l-com/dma060mf/null-modem-adaptor-db9-plg-to/dp/2293812" TargetMode="External"/><Relationship Id="rId9" Type="http://schemas.openxmlformats.org/officeDocument/2006/relationships/hyperlink" Target="https://si.farnell.com/phoenix-contact/1711725/terminal-block-wire-to-brd-2pos/dp/3041165" TargetMode="External"/><Relationship Id="rId14" Type="http://schemas.openxmlformats.org/officeDocument/2006/relationships/hyperlink" Target="https://si.farnell.com/tracopower/tsr-1-24120/converter-dc-dc-24v-12v-1a-sip/dp/1672130" TargetMode="External"/><Relationship Id="rId22" Type="http://schemas.openxmlformats.org/officeDocument/2006/relationships/hyperlink" Target="https://si.farnell.com/molex/08-70-1031/contact-socket-18awg-crimp/dp/2358081" TargetMode="External"/><Relationship Id="rId27" Type="http://schemas.openxmlformats.org/officeDocument/2006/relationships/hyperlink" Target="https://si.farnell.com/multicomp-pro/mcpdmt50f200jb00/resistor-chassis-mount-20r-1-50w/dp/4668609" TargetMode="External"/><Relationship Id="rId30" Type="http://schemas.openxmlformats.org/officeDocument/2006/relationships/hyperlink" Target="https://si.farnell.com/vishay/rh02510r00fc02/power-resistor/dp/16532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12" workbookViewId="0">
      <selection activeCell="E29" sqref="E29"/>
    </sheetView>
  </sheetViews>
  <sheetFormatPr defaultColWidth="27.42578125" defaultRowHeight="15" x14ac:dyDescent="0.25"/>
  <cols>
    <col min="1" max="1" width="99" style="7" customWidth="1"/>
    <col min="2" max="2" width="12.5703125" style="7" customWidth="1"/>
    <col min="3" max="3" width="11.42578125" style="7" customWidth="1"/>
    <col min="4" max="4" width="10.85546875" style="7" customWidth="1"/>
    <col min="5" max="16384" width="27.42578125" style="7"/>
  </cols>
  <sheetData>
    <row r="1" spans="1:4" x14ac:dyDescent="0.25">
      <c r="A1" s="5" t="s">
        <v>3</v>
      </c>
      <c r="B1" s="6" t="s">
        <v>4</v>
      </c>
      <c r="C1" s="6" t="s">
        <v>5</v>
      </c>
      <c r="D1" s="6" t="s">
        <v>37</v>
      </c>
    </row>
    <row r="2" spans="1:4" x14ac:dyDescent="0.25">
      <c r="A2" s="3" t="s">
        <v>0</v>
      </c>
      <c r="B2" s="2">
        <v>21</v>
      </c>
      <c r="C2" s="2">
        <v>1</v>
      </c>
      <c r="D2" s="2">
        <f>$B2*$C2</f>
        <v>21</v>
      </c>
    </row>
    <row r="3" spans="1:4" x14ac:dyDescent="0.25">
      <c r="A3" s="3" t="s">
        <v>1</v>
      </c>
      <c r="B3" s="2">
        <v>21</v>
      </c>
      <c r="C3" s="2">
        <v>0</v>
      </c>
      <c r="D3" s="2">
        <f t="shared" ref="D3:D47" si="0">$B3*$C3</f>
        <v>0</v>
      </c>
    </row>
    <row r="4" spans="1:4" x14ac:dyDescent="0.25">
      <c r="A4" s="3" t="s">
        <v>2</v>
      </c>
      <c r="B4" s="2">
        <v>21</v>
      </c>
      <c r="C4" s="2">
        <v>0</v>
      </c>
      <c r="D4" s="2">
        <f t="shared" si="0"/>
        <v>0</v>
      </c>
    </row>
    <row r="5" spans="1:4" x14ac:dyDescent="0.25">
      <c r="A5" s="3"/>
      <c r="B5" s="2"/>
      <c r="C5" s="2"/>
      <c r="D5" s="2">
        <f t="shared" si="0"/>
        <v>0</v>
      </c>
    </row>
    <row r="6" spans="1:4" x14ac:dyDescent="0.25">
      <c r="A6" s="3" t="s">
        <v>18</v>
      </c>
      <c r="B6" s="2">
        <v>10</v>
      </c>
      <c r="C6" s="2">
        <v>1</v>
      </c>
      <c r="D6" s="2">
        <f t="shared" si="0"/>
        <v>10</v>
      </c>
    </row>
    <row r="7" spans="1:4" x14ac:dyDescent="0.25">
      <c r="A7" s="3" t="s">
        <v>16</v>
      </c>
      <c r="B7" s="2">
        <v>5</v>
      </c>
      <c r="C7" s="2">
        <v>1</v>
      </c>
      <c r="D7" s="2">
        <f t="shared" si="0"/>
        <v>5</v>
      </c>
    </row>
    <row r="8" spans="1:4" x14ac:dyDescent="0.25">
      <c r="A8" s="3" t="s">
        <v>17</v>
      </c>
      <c r="B8" s="2">
        <v>7</v>
      </c>
      <c r="C8" s="2">
        <v>2</v>
      </c>
      <c r="D8" s="2">
        <f t="shared" si="0"/>
        <v>14</v>
      </c>
    </row>
    <row r="9" spans="1:4" x14ac:dyDescent="0.25">
      <c r="A9" s="3"/>
      <c r="B9" s="2"/>
      <c r="C9" s="2"/>
      <c r="D9" s="2">
        <f t="shared" si="0"/>
        <v>0</v>
      </c>
    </row>
    <row r="10" spans="1:4" x14ac:dyDescent="0.25">
      <c r="A10" s="3" t="s">
        <v>26</v>
      </c>
      <c r="B10" s="2">
        <v>5</v>
      </c>
      <c r="C10" s="2">
        <v>4.8099999999999996</v>
      </c>
      <c r="D10" s="2">
        <f t="shared" si="0"/>
        <v>24.049999999999997</v>
      </c>
    </row>
    <row r="11" spans="1:4" x14ac:dyDescent="0.25">
      <c r="A11" s="3" t="s">
        <v>24</v>
      </c>
      <c r="B11" s="2">
        <v>5</v>
      </c>
      <c r="C11" s="2">
        <v>5.28</v>
      </c>
      <c r="D11" s="2">
        <f t="shared" si="0"/>
        <v>26.400000000000002</v>
      </c>
    </row>
    <row r="12" spans="1:4" x14ac:dyDescent="0.25">
      <c r="A12" s="3" t="s">
        <v>25</v>
      </c>
      <c r="B12" s="2">
        <v>5</v>
      </c>
      <c r="C12" s="2">
        <v>5.41</v>
      </c>
      <c r="D12" s="2">
        <f t="shared" si="0"/>
        <v>27.05</v>
      </c>
    </row>
    <row r="13" spans="1:4" x14ac:dyDescent="0.25">
      <c r="A13" s="3"/>
      <c r="B13" s="8"/>
      <c r="C13" s="8"/>
      <c r="D13" s="2">
        <f t="shared" si="0"/>
        <v>0</v>
      </c>
    </row>
    <row r="14" spans="1:4" x14ac:dyDescent="0.25">
      <c r="A14" s="3" t="s">
        <v>6</v>
      </c>
      <c r="B14" s="1">
        <v>15</v>
      </c>
      <c r="C14" s="1">
        <v>0</v>
      </c>
      <c r="D14" s="2">
        <f t="shared" si="0"/>
        <v>0</v>
      </c>
    </row>
    <row r="15" spans="1:4" x14ac:dyDescent="0.25">
      <c r="A15" s="3" t="s">
        <v>8</v>
      </c>
      <c r="B15" s="1">
        <v>1</v>
      </c>
      <c r="C15" s="4">
        <v>0</v>
      </c>
      <c r="D15" s="2">
        <f t="shared" si="0"/>
        <v>0</v>
      </c>
    </row>
    <row r="16" spans="1:4" x14ac:dyDescent="0.25">
      <c r="A16" s="3"/>
      <c r="B16" s="2"/>
      <c r="C16" s="2"/>
      <c r="D16" s="2">
        <f t="shared" si="0"/>
        <v>0</v>
      </c>
    </row>
    <row r="17" spans="1:4" x14ac:dyDescent="0.25">
      <c r="A17" s="3" t="s">
        <v>15</v>
      </c>
      <c r="B17" s="2">
        <v>0.6</v>
      </c>
      <c r="C17" s="2">
        <v>20</v>
      </c>
      <c r="D17" s="2">
        <f t="shared" si="0"/>
        <v>12</v>
      </c>
    </row>
    <row r="18" spans="1:4" x14ac:dyDescent="0.25">
      <c r="A18" s="3" t="s">
        <v>14</v>
      </c>
      <c r="B18" s="2">
        <v>1.9</v>
      </c>
      <c r="C18" s="2">
        <v>10</v>
      </c>
      <c r="D18" s="2">
        <f t="shared" si="0"/>
        <v>19</v>
      </c>
    </row>
    <row r="19" spans="1:4" x14ac:dyDescent="0.25">
      <c r="A19" s="3" t="s">
        <v>13</v>
      </c>
      <c r="B19" s="2">
        <v>1.25</v>
      </c>
      <c r="C19" s="2">
        <v>10</v>
      </c>
      <c r="D19" s="2">
        <f t="shared" si="0"/>
        <v>12.5</v>
      </c>
    </row>
    <row r="20" spans="1:4" x14ac:dyDescent="0.25">
      <c r="A20" s="3"/>
      <c r="B20" s="2"/>
      <c r="C20" s="2"/>
      <c r="D20" s="2">
        <f t="shared" si="0"/>
        <v>0</v>
      </c>
    </row>
    <row r="21" spans="1:4" s="9" customFormat="1" x14ac:dyDescent="0.25">
      <c r="A21" s="3" t="s">
        <v>11</v>
      </c>
      <c r="B21" s="2">
        <v>1</v>
      </c>
      <c r="C21" s="2">
        <v>10</v>
      </c>
      <c r="D21" s="2">
        <f t="shared" si="0"/>
        <v>10</v>
      </c>
    </row>
    <row r="22" spans="1:4" s="9" customFormat="1" x14ac:dyDescent="0.25">
      <c r="A22" s="3" t="s">
        <v>12</v>
      </c>
      <c r="B22" s="2">
        <v>1.7</v>
      </c>
      <c r="C22" s="2">
        <v>10</v>
      </c>
      <c r="D22" s="2">
        <f t="shared" si="0"/>
        <v>17</v>
      </c>
    </row>
    <row r="23" spans="1:4" s="9" customFormat="1" x14ac:dyDescent="0.25">
      <c r="A23" s="3"/>
      <c r="B23" s="2"/>
      <c r="C23" s="2"/>
      <c r="D23" s="2">
        <f t="shared" si="0"/>
        <v>0</v>
      </c>
    </row>
    <row r="24" spans="1:4" x14ac:dyDescent="0.25">
      <c r="A24" s="3" t="s">
        <v>22</v>
      </c>
      <c r="B24" s="10">
        <v>0.112</v>
      </c>
      <c r="C24" s="2">
        <v>0</v>
      </c>
      <c r="D24" s="2">
        <f t="shared" si="0"/>
        <v>0</v>
      </c>
    </row>
    <row r="25" spans="1:4" x14ac:dyDescent="0.25">
      <c r="A25" s="3" t="s">
        <v>21</v>
      </c>
      <c r="B25" s="2">
        <v>0.39</v>
      </c>
      <c r="C25" s="2">
        <v>0</v>
      </c>
      <c r="D25" s="2">
        <f t="shared" si="0"/>
        <v>0</v>
      </c>
    </row>
    <row r="26" spans="1:4" s="9" customFormat="1" x14ac:dyDescent="0.25">
      <c r="A26" s="11"/>
      <c r="B26" s="11"/>
      <c r="C26" s="11"/>
      <c r="D26" s="2">
        <f t="shared" si="0"/>
        <v>0</v>
      </c>
    </row>
    <row r="27" spans="1:4" s="9" customFormat="1" x14ac:dyDescent="0.25">
      <c r="A27" s="12" t="s">
        <v>23</v>
      </c>
      <c r="B27" s="9">
        <v>0.51800000000000002</v>
      </c>
      <c r="C27" s="2">
        <v>10</v>
      </c>
      <c r="D27" s="2">
        <f>$B27*$C27</f>
        <v>5.18</v>
      </c>
    </row>
    <row r="28" spans="1:4" x14ac:dyDescent="0.25">
      <c r="A28" s="3" t="s">
        <v>27</v>
      </c>
      <c r="B28" s="7">
        <v>6.8500000000000005E-2</v>
      </c>
      <c r="C28" s="2">
        <v>20</v>
      </c>
      <c r="D28" s="2">
        <f t="shared" si="0"/>
        <v>1.37</v>
      </c>
    </row>
    <row r="29" spans="1:4" x14ac:dyDescent="0.25">
      <c r="A29" s="12" t="s">
        <v>28</v>
      </c>
      <c r="B29" s="7">
        <v>0.156</v>
      </c>
      <c r="C29" s="8">
        <v>10</v>
      </c>
      <c r="D29" s="2">
        <f t="shared" si="0"/>
        <v>1.56</v>
      </c>
    </row>
    <row r="30" spans="1:4" x14ac:dyDescent="0.25">
      <c r="A30" s="12"/>
      <c r="C30" s="8"/>
      <c r="D30" s="2"/>
    </row>
    <row r="31" spans="1:4" x14ac:dyDescent="0.25">
      <c r="A31" s="12"/>
      <c r="B31" s="8"/>
      <c r="C31" s="8"/>
      <c r="D31" s="2">
        <f t="shared" si="0"/>
        <v>0</v>
      </c>
    </row>
    <row r="32" spans="1:4" x14ac:dyDescent="0.25">
      <c r="A32" s="12" t="s">
        <v>34</v>
      </c>
      <c r="B32" s="8">
        <v>10</v>
      </c>
      <c r="C32" s="8">
        <v>1</v>
      </c>
      <c r="D32" s="2">
        <f t="shared" si="0"/>
        <v>10</v>
      </c>
    </row>
    <row r="33" spans="1:4" x14ac:dyDescent="0.25">
      <c r="A33" s="12" t="s">
        <v>35</v>
      </c>
      <c r="B33" s="8">
        <v>10</v>
      </c>
      <c r="C33" s="8">
        <v>1</v>
      </c>
      <c r="D33" s="2">
        <f t="shared" si="0"/>
        <v>10</v>
      </c>
    </row>
    <row r="34" spans="1:4" x14ac:dyDescent="0.25">
      <c r="A34" s="12"/>
      <c r="B34" s="8"/>
      <c r="C34" s="8"/>
      <c r="D34" s="2">
        <f t="shared" si="0"/>
        <v>0</v>
      </c>
    </row>
    <row r="35" spans="1:4" x14ac:dyDescent="0.25">
      <c r="A35" s="12" t="s">
        <v>29</v>
      </c>
      <c r="B35" s="8">
        <v>4</v>
      </c>
      <c r="C35" s="8">
        <v>1</v>
      </c>
      <c r="D35" s="2">
        <f t="shared" si="0"/>
        <v>4</v>
      </c>
    </row>
    <row r="36" spans="1:4" x14ac:dyDescent="0.25">
      <c r="A36" s="12" t="s">
        <v>30</v>
      </c>
      <c r="B36" s="8">
        <v>4</v>
      </c>
      <c r="C36" s="8">
        <v>1</v>
      </c>
      <c r="D36" s="2">
        <f t="shared" si="0"/>
        <v>4</v>
      </c>
    </row>
    <row r="37" spans="1:4" x14ac:dyDescent="0.25">
      <c r="A37" s="12" t="s">
        <v>31</v>
      </c>
      <c r="B37" s="8">
        <v>4</v>
      </c>
      <c r="C37" s="8">
        <v>1</v>
      </c>
      <c r="D37" s="2">
        <f t="shared" si="0"/>
        <v>4</v>
      </c>
    </row>
    <row r="38" spans="1:4" x14ac:dyDescent="0.25">
      <c r="A38" s="12" t="s">
        <v>32</v>
      </c>
      <c r="B38" s="8">
        <v>4</v>
      </c>
      <c r="C38" s="8">
        <v>1</v>
      </c>
      <c r="D38" s="2">
        <f t="shared" si="0"/>
        <v>4</v>
      </c>
    </row>
    <row r="39" spans="1:4" x14ac:dyDescent="0.25">
      <c r="A39" s="12" t="s">
        <v>33</v>
      </c>
      <c r="B39" s="8">
        <v>4</v>
      </c>
      <c r="C39" s="8">
        <v>1</v>
      </c>
      <c r="D39" s="2">
        <f t="shared" si="0"/>
        <v>4</v>
      </c>
    </row>
    <row r="40" spans="1:4" x14ac:dyDescent="0.25">
      <c r="A40" s="12"/>
      <c r="B40" s="8"/>
      <c r="C40" s="8"/>
      <c r="D40" s="2">
        <f t="shared" si="0"/>
        <v>0</v>
      </c>
    </row>
    <row r="41" spans="1:4" x14ac:dyDescent="0.25">
      <c r="A41" s="12" t="s">
        <v>36</v>
      </c>
      <c r="B41" s="8">
        <v>10</v>
      </c>
      <c r="C41" s="8">
        <v>2</v>
      </c>
      <c r="D41" s="2">
        <f t="shared" si="0"/>
        <v>20</v>
      </c>
    </row>
    <row r="42" spans="1:4" s="14" customFormat="1" x14ac:dyDescent="0.25">
      <c r="A42" s="13"/>
      <c r="B42" s="13"/>
      <c r="C42" s="13"/>
      <c r="D42" s="2">
        <f t="shared" si="0"/>
        <v>0</v>
      </c>
    </row>
    <row r="43" spans="1:4" x14ac:dyDescent="0.25">
      <c r="A43" s="3" t="s">
        <v>20</v>
      </c>
      <c r="B43" s="2"/>
      <c r="C43" s="2"/>
      <c r="D43" s="2">
        <f t="shared" si="0"/>
        <v>0</v>
      </c>
    </row>
    <row r="44" spans="1:4" x14ac:dyDescent="0.25">
      <c r="A44" s="3" t="s">
        <v>19</v>
      </c>
      <c r="B44" s="2"/>
      <c r="C44" s="2"/>
      <c r="D44" s="2">
        <f t="shared" si="0"/>
        <v>0</v>
      </c>
    </row>
    <row r="45" spans="1:4" x14ac:dyDescent="0.25">
      <c r="A45" s="3" t="s">
        <v>10</v>
      </c>
      <c r="B45" s="2">
        <v>5</v>
      </c>
      <c r="C45" s="2">
        <v>4.2699999999999996</v>
      </c>
      <c r="D45" s="2">
        <f t="shared" si="0"/>
        <v>21.349999999999998</v>
      </c>
    </row>
    <row r="46" spans="1:4" x14ac:dyDescent="0.25">
      <c r="A46" s="3" t="s">
        <v>9</v>
      </c>
      <c r="B46" s="2">
        <v>5</v>
      </c>
      <c r="C46" s="2">
        <v>4.6399999999999997</v>
      </c>
      <c r="D46" s="2">
        <f t="shared" si="0"/>
        <v>23.2</v>
      </c>
    </row>
    <row r="47" spans="1:4" x14ac:dyDescent="0.25">
      <c r="A47" s="3"/>
      <c r="B47" s="2"/>
      <c r="C47" s="2"/>
      <c r="D47" s="2">
        <f t="shared" si="0"/>
        <v>0</v>
      </c>
    </row>
    <row r="48" spans="1:4" x14ac:dyDescent="0.25">
      <c r="A48" s="1"/>
      <c r="B48" s="2"/>
      <c r="C48" s="2" t="s">
        <v>7</v>
      </c>
      <c r="D48" s="2">
        <f>SUM(D2:D46)</f>
        <v>310.66000000000003</v>
      </c>
    </row>
  </sheetData>
  <hyperlinks>
    <hyperlink ref="A2" r:id="rId1" display="https://si.farnell.com/mean-well/hdr-30-24/power-supply-ac-dc-24v-1-5a/dp/2815638" xr:uid="{F40B0605-CF8E-4418-8DD0-F082CB514531}"/>
    <hyperlink ref="A3" r:id="rId2" display="https://si.farnell.com/mean-well/hdr-30-12/power-supply-ac-dc-12v-2a/dp/2815636" xr:uid="{B3BADF3A-9F04-4287-82EC-DF248544FDEB}"/>
    <hyperlink ref="A4" r:id="rId3" display="https://si.farnell.com/mean-well/hdr-30-5/power-supply-ac-dc-5v-3a/dp/2815640" xr:uid="{05B0EB99-1B71-47E2-93BE-058F8FA044DC}"/>
    <hyperlink ref="A14" r:id="rId4" display="https://si.farnell.com/l-com/dma060mf/null-modem-adaptor-db9-plg-to/dp/2293812" xr:uid="{702E1E10-1551-4FF6-AA0B-C4FD0F962FA9}"/>
    <hyperlink ref="A15" r:id="rId5" xr:uid="{522580CF-BC9D-47C4-9BDC-1CE4F1F863D2}"/>
    <hyperlink ref="A11" r:id="rId6" display="za usmernike:  6way 3,92mm " xr:uid="{7E776B0F-F92C-4C83-90A1-C845C8666CCF}"/>
    <hyperlink ref="A46" r:id="rId7" xr:uid="{3E1D7C9F-AAFA-4944-8965-A3713C08E61C}"/>
    <hyperlink ref="A45" r:id="rId8" xr:uid="{769DDB56-238F-455D-9AF8-E95A1D1079DA}"/>
    <hyperlink ref="A21" r:id="rId9" xr:uid="{89FF4D92-2039-401F-A064-A4122EFE3C97}"/>
    <hyperlink ref="A22" r:id="rId10" xr:uid="{F9939B57-6A87-4F10-B71E-54E3303EE145}"/>
    <hyperlink ref="A19" r:id="rId11" xr:uid="{9C36338D-3FD6-4FD0-8C09-37035A2D1B27}"/>
    <hyperlink ref="A18" r:id="rId12" xr:uid="{107FC83E-CAD8-4B69-B954-7B8C461A48A4}"/>
    <hyperlink ref="A17" r:id="rId13" xr:uid="{64FF1C47-AC81-4445-A782-0269D880407D}"/>
    <hyperlink ref="A7" r:id="rId14" xr:uid="{65CA37DC-9F60-4D57-A2CD-DCBD84987906}"/>
    <hyperlink ref="A8" r:id="rId15" xr:uid="{884BA364-0713-47CF-9F83-EFABEC11E972}"/>
    <hyperlink ref="A6" r:id="rId16" xr:uid="{E3E85941-DBDE-440F-B3D0-46C97DCF3B9D}"/>
    <hyperlink ref="A24" r:id="rId17" xr:uid="{B22A9FBB-26B7-4BB6-9925-57667B1C4C14}"/>
    <hyperlink ref="A27" r:id="rId18" xr:uid="{9C0A8849-0139-4700-99AF-A691970FFBE3}"/>
    <hyperlink ref="A12" r:id="rId19" xr:uid="{368EAD49-29AD-4F71-B47F-DA7EE99D566F}"/>
    <hyperlink ref="A10" r:id="rId20" xr:uid="{E0E5C190-62D4-4DC0-A13B-91E8C00432C5}"/>
    <hyperlink ref="A25" r:id="rId21" xr:uid="{1D9A4A9A-1472-4880-9104-8F3BAF0B542C}"/>
    <hyperlink ref="A28" r:id="rId22" xr:uid="{9A56EB6F-474F-4573-A25E-171022887C4B}"/>
    <hyperlink ref="A29" r:id="rId23" xr:uid="{0A23F958-D565-412C-BD8F-0E1C14E1AC33}"/>
    <hyperlink ref="A35" r:id="rId24" xr:uid="{9C4D0BA3-E060-4D62-BEA3-C65718D8AEFC}"/>
    <hyperlink ref="A36" r:id="rId25" xr:uid="{F76FA6E2-9B4D-4C82-B5E9-FA89E66478F9}"/>
    <hyperlink ref="A37" r:id="rId26" xr:uid="{C7EE6CCF-7BBC-4C13-998D-214F90C5A7D0}"/>
    <hyperlink ref="A38" r:id="rId27" xr:uid="{F3D84AFC-EE5D-47B0-8369-16D4D591689F}"/>
    <hyperlink ref="A39" r:id="rId28" xr:uid="{44EE6DE6-FA89-4A94-A1C0-B5B41575DAE8}"/>
    <hyperlink ref="A32" r:id="rId29" xr:uid="{532F5252-EE4A-43DE-B5EE-517BCEB83D13}"/>
    <hyperlink ref="A33" r:id="rId30" xr:uid="{5FD49821-C607-4D16-88EB-4215B14E91F2}"/>
    <hyperlink ref="A41" r:id="rId31" xr:uid="{808173B4-99A0-4361-BA9D-7274FA2FEE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Črtomir Juren</dc:creator>
  <cp:lastModifiedBy>Črtomir Juren</cp:lastModifiedBy>
  <dcterms:created xsi:type="dcterms:W3CDTF">2015-06-05T18:19:34Z</dcterms:created>
  <dcterms:modified xsi:type="dcterms:W3CDTF">2025-12-09T09:57:12Z</dcterms:modified>
</cp:coreProperties>
</file>